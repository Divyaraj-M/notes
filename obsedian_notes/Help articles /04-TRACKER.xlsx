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le Tracker" sheetId="1" state="visible" r:id="rId3"/>
    <sheet name="Summary" sheetId="2" state="visible" r:id="rId4"/>
  </sheets>
  <definedNames>
    <definedName function="false" hidden="true" localSheetId="0" name="_xlnm._FilterDatabase" vbProcedure="false">'Article Tracker'!$A$1:$L$69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<sst xmlns="http://schemas.openxmlformats.org/spreadsheetml/2006/main" count="403" uniqueCount="244">
  <si>
    <t xml:space="preserve">#</t>
  </si>
  <si>
    <t xml:space="preserve">Category</t>
  </si>
  <si>
    <t xml:space="preserve">Article Title (User Question)</t>
  </si>
  <si>
    <t xml:space="preserve">File Path</t>
  </si>
  <si>
    <t xml:space="preserve">User Intent</t>
  </si>
  <si>
    <t xml:space="preserve">Status</t>
  </si>
  <si>
    <t xml:space="preserve">Day</t>
  </si>
  <si>
    <t xml:space="preserve">Date Done</t>
  </si>
  <si>
    <t xml:space="preserve">Writer</t>
  </si>
  <si>
    <t xml:space="preserve">Links OK</t>
  </si>
  <si>
    <t xml:space="preserve">Screenshots</t>
  </si>
  <si>
    <t xml:space="preserve">Notes</t>
  </si>
  <si>
    <t xml:space="preserve">A. Getting Started</t>
  </si>
  <si>
    <t xml:space="preserve">Getting Started</t>
  </si>
  <si>
    <t xml:space="preserve">What is SparrowGenie</t>
  </si>
  <si>
    <t xml:space="preserve">getting-started/what-is-sparrowgenie.md</t>
  </si>
  <si>
    <t xml:space="preserve">What does this product do?</t>
  </si>
  <si>
    <t xml:space="preserve">Not Started</t>
  </si>
  <si>
    <t xml:space="preserve">Day 1</t>
  </si>
  <si>
    <t xml:space="preserve">Setting up your account</t>
  </si>
  <si>
    <t xml:space="preserve">getting-started/setting-up-your-account.md</t>
  </si>
  <si>
    <t xml:space="preserve">I signed up, now what?</t>
  </si>
  <si>
    <t xml:space="preserve">How to invite your team</t>
  </si>
  <si>
    <t xml:space="preserve">getting-started/how-to-invite-your-team.md</t>
  </si>
  <si>
    <t xml:space="preserve">How do I get colleagues in?</t>
  </si>
  <si>
    <t xml:space="preserve">Understanding roles</t>
  </si>
  <si>
    <t xml:space="preserve">getting-started/understanding-roles.md</t>
  </si>
  <si>
    <t xml:space="preserve">What can different people do?</t>
  </si>
  <si>
    <t xml:space="preserve">Owner vs Manager vs Participant</t>
  </si>
  <si>
    <t xml:space="preserve">getting-started/owner-vs-manager-vs-participant.md</t>
  </si>
  <si>
    <t xml:space="preserve">Who can do what exactly?</t>
  </si>
  <si>
    <t xml:space="preserve">Quick start: First project in 10 min</t>
  </si>
  <si>
    <t xml:space="preserve">getting-started/quick-start-your-first-project-in-10-minutes.md</t>
  </si>
  <si>
    <t xml:space="preserve">Just show me the fastest path</t>
  </si>
  <si>
    <t xml:space="preserve">Day 2</t>
  </si>
  <si>
    <t xml:space="preserve">B. Knowledge Hub</t>
  </si>
  <si>
    <t xml:space="preserve">Knowledge Hub</t>
  </si>
  <si>
    <t xml:space="preserve">What is the Knowledge Hub</t>
  </si>
  <si>
    <t xml:space="preserve">knowledge-hub/what-is-the-knowledge-hub.md</t>
  </si>
  <si>
    <t xml:space="preserve">Why does this matter?</t>
  </si>
  <si>
    <t xml:space="preserve">How to upload documents</t>
  </si>
  <si>
    <t xml:space="preserve">knowledge-hub/how-to-upload-documents.md</t>
  </si>
  <si>
    <t xml:space="preserve">How do I get files in?</t>
  </si>
  <si>
    <t xml:space="preserve">Supported file types (KH)</t>
  </si>
  <si>
    <t xml:space="preserve">knowledge-hub/supported-file-types.md</t>
  </si>
  <si>
    <t xml:space="preserve">Can I upload Word/PDF?</t>
  </si>
  <si>
    <t xml:space="preserve">How to organize with folders</t>
  </si>
  <si>
    <t xml:space="preserve">knowledge-hub/how-to-organize-with-folders.md</t>
  </si>
  <si>
    <t xml:space="preserve">My KH is a mess</t>
  </si>
  <si>
    <t xml:space="preserve">How the AI learns from your content</t>
  </si>
  <si>
    <t xml:space="preserve">knowledge-hub/how-the-ai-learns-from-your-content.md</t>
  </si>
  <si>
    <t xml:space="preserve">How does AI know answers?</t>
  </si>
  <si>
    <t xml:space="preserve">Day 3</t>
  </si>
  <si>
    <t xml:space="preserve">How to test KH coverage</t>
  </si>
  <si>
    <t xml:space="preserve">knowledge-hub/how-to-test-knowledge-hub-coverage.md</t>
  </si>
  <si>
    <t xml:space="preserve">Is my KH ready?</t>
  </si>
  <si>
    <t xml:space="preserve">How to improve AI answer quality</t>
  </si>
  <si>
    <t xml:space="preserve">knowledge-hub/how-to-improve-ai-answer-quality.md</t>
  </si>
  <si>
    <t xml:space="preserve">AI keeps getting things wrong</t>
  </si>
  <si>
    <t xml:space="preserve">C. Projects — Creating</t>
  </si>
  <si>
    <t xml:space="preserve">Projects — Creating</t>
  </si>
  <si>
    <t xml:space="preserve">What is a Project</t>
  </si>
  <si>
    <t xml:space="preserve">projects/creating/what-is-a-project.md</t>
  </si>
  <si>
    <t xml:space="preserve">What does 'project' mean here?</t>
  </si>
  <si>
    <t xml:space="preserve">How to create a new project</t>
  </si>
  <si>
    <t xml:space="preserve">projects/creating/how-to-create-a-new-project.md</t>
  </si>
  <si>
    <t xml:space="preserve">I need to start on this RFP</t>
  </si>
  <si>
    <t xml:space="preserve">What you need before starting</t>
  </si>
  <si>
    <t xml:space="preserve">projects/creating/what-you-need-before-starting.md</t>
  </si>
  <si>
    <t xml:space="preserve">Am I ready to create a project?</t>
  </si>
  <si>
    <t xml:space="preserve">Day 4</t>
  </si>
  <si>
    <t xml:space="preserve">D. Projects — Importing</t>
  </si>
  <si>
    <t xml:space="preserve">Projects — Importing</t>
  </si>
  <si>
    <t xml:space="preserve">How to import your RFP</t>
  </si>
  <si>
    <t xml:space="preserve">projects/importing/how-to-import-your-rfp.md</t>
  </si>
  <si>
    <t xml:space="preserve">How do I upload my RFP?</t>
  </si>
  <si>
    <t xml:space="preserve">Supported import formats</t>
  </si>
  <si>
    <t xml:space="preserve">projects/importing/supported-import-formats.md</t>
  </si>
  <si>
    <t xml:space="preserve">Can I import Excel/CSV?</t>
  </si>
  <si>
    <t xml:space="preserve">How to clean your file before importing</t>
  </si>
  <si>
    <t xml:space="preserve">projects/importing/how-to-clean-your-file-before-importing.md</t>
  </si>
  <si>
    <t xml:space="preserve">File has weird formatting</t>
  </si>
  <si>
    <t xml:space="preserve">My file won't upload</t>
  </si>
  <si>
    <t xml:space="preserve">projects/importing/my-file-wont-upload.md</t>
  </si>
  <si>
    <t xml:space="preserve">I get an error uploading</t>
  </si>
  <si>
    <t xml:space="preserve">E. Projects — Mapping</t>
  </si>
  <si>
    <t xml:space="preserve">Projects — Mapping</t>
  </si>
  <si>
    <t xml:space="preserve">What is mapping and why do I need it</t>
  </si>
  <si>
    <t xml:space="preserve">projects/mapping/what-is-mapping-and-why-do-i-need-it.md</t>
  </si>
  <si>
    <t xml:space="preserve">What is this step?</t>
  </si>
  <si>
    <t xml:space="preserve">Day 5</t>
  </si>
  <si>
    <t xml:space="preserve">How to map sections and questions</t>
  </si>
  <si>
    <t xml:space="preserve">projects/mapping/how-to-map-sections-and-questions.md</t>
  </si>
  <si>
    <t xml:space="preserve">Show me how to map</t>
  </si>
  <si>
    <t xml:space="preserve">Using dropdown vs manual mapping</t>
  </si>
  <si>
    <t xml:space="preserve">projects/mapping/using-dropdown-vs-manual-mapping.md</t>
  </si>
  <si>
    <t xml:space="preserve">What's the difference?</t>
  </si>
  <si>
    <t xml:space="preserve">How auto-map works</t>
  </si>
  <si>
    <t xml:space="preserve">projects/mapping/how-auto-map-works.md</t>
  </si>
  <si>
    <t xml:space="preserve">Can the system do it for me?</t>
  </si>
  <si>
    <t xml:space="preserve">How to undo, redo, or reset mapping</t>
  </si>
  <si>
    <t xml:space="preserve">projects/mapping/how-to-undo-redo-or-reset-mapping.md</t>
  </si>
  <si>
    <t xml:space="preserve">I messed up, how to go back?</t>
  </si>
  <si>
    <t xml:space="preserve">How to review and finish mapping</t>
  </si>
  <si>
    <t xml:space="preserve">projects/mapping/how-to-review-and-finish-mapping.md</t>
  </si>
  <si>
    <t xml:space="preserve">Am I done? What's next?</t>
  </si>
  <si>
    <t xml:space="preserve">Day 6</t>
  </si>
  <si>
    <t xml:space="preserve">The AI mapped something wrong</t>
  </si>
  <si>
    <t xml:space="preserve">projects/mapping/the-ai-mapped-something-wrong.md</t>
  </si>
  <si>
    <t xml:space="preserve">Auto-map got stuff wrong</t>
  </si>
  <si>
    <t xml:space="preserve">F. Projects — AI Answer Fill</t>
  </si>
  <si>
    <t xml:space="preserve">Projects — AI Answer Fill</t>
  </si>
  <si>
    <t xml:space="preserve">How does AI answer fill work</t>
  </si>
  <si>
    <t xml:space="preserve">projects/ai-answer-fill/how-does-ai-answer-fill-work.md</t>
  </si>
  <si>
    <t xml:space="preserve">How does Genie fill answers?</t>
  </si>
  <si>
    <t xml:space="preserve">How to auto-fill answers</t>
  </si>
  <si>
    <t xml:space="preserve">projects/ai-answer-fill/how-to-auto-fill-answers.md</t>
  </si>
  <si>
    <t xml:space="preserve">How do I trigger AI fill?</t>
  </si>
  <si>
    <t xml:space="preserve">How to edit an AI answer</t>
  </si>
  <si>
    <t xml:space="preserve">projects/ai-answer-fill/how-to-edit-an-ai-answer.md</t>
  </si>
  <si>
    <t xml:space="preserve">Answer is close but not right</t>
  </si>
  <si>
    <t xml:space="preserve">The AI answer is wrong or missing</t>
  </si>
  <si>
    <t xml:space="preserve">projects/ai-answer-fill/the-ai-answer-is-wrong-or-missing.md</t>
  </si>
  <si>
    <t xml:space="preserve">AI got it wrong / left blank</t>
  </si>
  <si>
    <t xml:space="preserve">Day 7</t>
  </si>
  <si>
    <t xml:space="preserve">How to improve AI answers</t>
  </si>
  <si>
    <t xml:space="preserve">projects/ai-answer-fill/how-to-improve-ai-answers.md</t>
  </si>
  <si>
    <t xml:space="preserve">How to make AI better over time?</t>
  </si>
  <si>
    <t xml:space="preserve">G. Projects — Collaborating</t>
  </si>
  <si>
    <t xml:space="preserve">Projects — Collaborating</t>
  </si>
  <si>
    <t xml:space="preserve">How to assign a question to someone</t>
  </si>
  <si>
    <t xml:space="preserve">projects/collaborating/how-to-assign-a-question-to-someone.md</t>
  </si>
  <si>
    <t xml:space="preserve">How to delegate to legal/security?</t>
  </si>
  <si>
    <t xml:space="preserve">How to share a section with another team</t>
  </si>
  <si>
    <t xml:space="preserve">projects/collaborating/how-to-share-a-section-with-another-team.md</t>
  </si>
  <si>
    <t xml:space="preserve">Send Section 3 to security team</t>
  </si>
  <si>
    <t xml:space="preserve">How to add comments and mentions</t>
  </si>
  <si>
    <t xml:space="preserve">projects/collaborating/how-to-add-comments-and-mentions.md</t>
  </si>
  <si>
    <t xml:space="preserve">How to talk to team in project?</t>
  </si>
  <si>
    <t xml:space="preserve">How do notifications work</t>
  </si>
  <si>
    <t xml:space="preserve">projects/collaborating/how-do-notifications-work.md</t>
  </si>
  <si>
    <t xml:space="preserve">Too many / not enough notifs</t>
  </si>
  <si>
    <t xml:space="preserve">Day 8</t>
  </si>
  <si>
    <t xml:space="preserve">H. Projects — Reviewing</t>
  </si>
  <si>
    <t xml:space="preserve">Projects — Reviewing</t>
  </si>
  <si>
    <t xml:space="preserve">How to request a review</t>
  </si>
  <si>
    <t xml:space="preserve">projects/reviewing/how-to-request-a-review.md</t>
  </si>
  <si>
    <t xml:space="preserve">I'm done, send for review?</t>
  </si>
  <si>
    <t xml:space="preserve">How to approve or reject an answer</t>
  </si>
  <si>
    <t xml:space="preserve">projects/reviewing/how-to-approve-or-reject-an-answer.md</t>
  </si>
  <si>
    <t xml:space="preserve">Someone sent me an answer</t>
  </si>
  <si>
    <t xml:space="preserve">How the approval workflow works</t>
  </si>
  <si>
    <t xml:space="preserve">projects/reviewing/how-the-approval-workflow-works.md</t>
  </si>
  <si>
    <t xml:space="preserve">What's the full review process?</t>
  </si>
  <si>
    <t xml:space="preserve">How to see activity history</t>
  </si>
  <si>
    <t xml:space="preserve">projects/reviewing/how-to-see-activity-history.md</t>
  </si>
  <si>
    <t xml:space="preserve">Who changed what and when?</t>
  </si>
  <si>
    <t xml:space="preserve">I. Projects — Tracking</t>
  </si>
  <si>
    <t xml:space="preserve">Projects — Tracking</t>
  </si>
  <si>
    <t xml:space="preserve">How to track project progress</t>
  </si>
  <si>
    <t xml:space="preserve">projects/tracking/how-to-track-project-progress.md</t>
  </si>
  <si>
    <t xml:space="preserve">Where do we stand?</t>
  </si>
  <si>
    <t xml:space="preserve">Day 9</t>
  </si>
  <si>
    <t xml:space="preserve">How to set deadlines</t>
  </si>
  <si>
    <t xml:space="preserve">projects/tracking/how-to-set-deadlines.md</t>
  </si>
  <si>
    <t xml:space="preserve">Set project + question deadlines</t>
  </si>
  <si>
    <t xml:space="preserve">How to see overdue and blocked items</t>
  </si>
  <si>
    <t xml:space="preserve">projects/tracking/how-to-see-overdue-and-blocked-items.md</t>
  </si>
  <si>
    <t xml:space="preserve">Who's behind? What's stuck?</t>
  </si>
  <si>
    <t xml:space="preserve">How do reminders work</t>
  </si>
  <si>
    <t xml:space="preserve">projects/tracking/how-do-reminders-work.md</t>
  </si>
  <si>
    <t xml:space="preserve">Auto reminders for the team?</t>
  </si>
  <si>
    <t xml:space="preserve">How to set deal value</t>
  </si>
  <si>
    <t xml:space="preserve">projects/tracking/how-to-set-deal-value.md</t>
  </si>
  <si>
    <t xml:space="preserve">Attach dollar amount to project</t>
  </si>
  <si>
    <t xml:space="preserve">J. Projects — Exporting</t>
  </si>
  <si>
    <t xml:space="preserve">Projects — Exporting</t>
  </si>
  <si>
    <t xml:space="preserve">How to export your completed response</t>
  </si>
  <si>
    <t xml:space="preserve">projects/exporting/how-to-export-your-completed-response.md</t>
  </si>
  <si>
    <t xml:space="preserve">Get the final document out</t>
  </si>
  <si>
    <t xml:space="preserve">Day 10</t>
  </si>
  <si>
    <t xml:space="preserve">How to export in Word, PDF, or Excel</t>
  </si>
  <si>
    <t xml:space="preserve">projects/exporting/how-to-export-in-word-pdf-or-excel.md</t>
  </si>
  <si>
    <t xml:space="preserve">What export formats available?</t>
  </si>
  <si>
    <t xml:space="preserve">How to export a single section</t>
  </si>
  <si>
    <t xml:space="preserve">projects/exporting/how-to-export-a-single-section.md</t>
  </si>
  <si>
    <t xml:space="preserve">Only need to send one section</t>
  </si>
  <si>
    <t xml:space="preserve">How to include or exclude comments</t>
  </si>
  <si>
    <t xml:space="preserve">projects/exporting/how-to-include-or-exclude-comments.md</t>
  </si>
  <si>
    <t xml:space="preserve">No internal comments in export</t>
  </si>
  <si>
    <t xml:space="preserve">K. Account &amp; Settings</t>
  </si>
  <si>
    <t xml:space="preserve">Account &amp; Settings</t>
  </si>
  <si>
    <t xml:space="preserve">How to manage notification preferences</t>
  </si>
  <si>
    <t xml:space="preserve">account-settings/how-to-manage-notification-preferences.md</t>
  </si>
  <si>
    <t xml:space="preserve">Too many emails / not enough</t>
  </si>
  <si>
    <t xml:space="preserve">How to connect integrations</t>
  </si>
  <si>
    <t xml:space="preserve">account-settings/how-to-connect-integrations.md</t>
  </si>
  <si>
    <t xml:space="preserve">Connect Slack / Google Drive?</t>
  </si>
  <si>
    <t xml:space="preserve">Day 11</t>
  </si>
  <si>
    <t xml:space="preserve">How to manage your subscription</t>
  </si>
  <si>
    <t xml:space="preserve">account-settings/how-to-manage-your-subscription.md</t>
  </si>
  <si>
    <t xml:space="preserve">Change plan or billing</t>
  </si>
  <si>
    <t xml:space="preserve">L. Landing Pages</t>
  </si>
  <si>
    <t xml:space="preserve">Landing Pages</t>
  </si>
  <si>
    <t xml:space="preserve">Getting Started — index</t>
  </si>
  <si>
    <t xml:space="preserve">getting-started/_index.md</t>
  </si>
  <si>
    <t xml:space="preserve">Category navigation</t>
  </si>
  <si>
    <t xml:space="preserve">Knowledge Hub — index</t>
  </si>
  <si>
    <t xml:space="preserve">knowledge-hub/_index.md</t>
  </si>
  <si>
    <t xml:space="preserve">Projects — index</t>
  </si>
  <si>
    <t xml:space="preserve">projects/_index.md</t>
  </si>
  <si>
    <t xml:space="preserve">Account &amp; Settings — index</t>
  </si>
  <si>
    <t xml:space="preserve">account-settings/_index.md</t>
  </si>
  <si>
    <t xml:space="preserve">Day 12</t>
  </si>
  <si>
    <t xml:space="preserve">Date</t>
  </si>
  <si>
    <t xml:space="preserve">Articles Planned</t>
  </si>
  <si>
    <t xml:space="preserve">Articles Done</t>
  </si>
  <si>
    <t xml:space="preserve">% Complete</t>
  </si>
  <si>
    <t xml:space="preserve">Phase</t>
  </si>
  <si>
    <t xml:space="preserve">Apr 3</t>
  </si>
  <si>
    <t xml:space="preserve">Getting Started basics</t>
  </si>
  <si>
    <t xml:space="preserve">Apr 4</t>
  </si>
  <si>
    <t xml:space="preserve">Quick Start + Knowledge Hub</t>
  </si>
  <si>
    <t xml:space="preserve">Apr 7</t>
  </si>
  <si>
    <t xml:space="preserve">AI learning + Project creation</t>
  </si>
  <si>
    <t xml:space="preserve">Apr 8</t>
  </si>
  <si>
    <t xml:space="preserve">Pre-import + Importing</t>
  </si>
  <si>
    <t xml:space="preserve">Apr 9</t>
  </si>
  <si>
    <t xml:space="preserve">Mapping</t>
  </si>
  <si>
    <t xml:space="preserve">Apr 10</t>
  </si>
  <si>
    <t xml:space="preserve">Finish mapping + AI fill</t>
  </si>
  <si>
    <t xml:space="preserve">Apr 11</t>
  </si>
  <si>
    <t xml:space="preserve">AI troubleshoot + Collaboration</t>
  </si>
  <si>
    <t xml:space="preserve">Apr 14</t>
  </si>
  <si>
    <t xml:space="preserve">Notifications + Reviewing</t>
  </si>
  <si>
    <t xml:space="preserve">Apr 15</t>
  </si>
  <si>
    <t xml:space="preserve">Tracking progress</t>
  </si>
  <si>
    <t xml:space="preserve">Apr 16</t>
  </si>
  <si>
    <t xml:space="preserve">Exporting + Settings</t>
  </si>
  <si>
    <t xml:space="preserve">Apr 17</t>
  </si>
  <si>
    <t xml:space="preserve">Settings + Landing pages</t>
  </si>
  <si>
    <t xml:space="preserve">Apr 18</t>
  </si>
  <si>
    <t xml:space="preserve">Review day + final landing page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</si>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</sst>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4F72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4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/>
      <c r="B2" s="3" t="s">
        <v>12</v>
      </c>
      <c r="C2" s="3"/>
      <c r="D2" s="3"/>
      <c r="E2" s="3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n">
        <v>1</v>
      </c>
      <c r="B3" s="5" t="s">
        <v>13</v>
      </c>
      <c r="C3" s="5" t="s">
        <v>14</v>
      </c>
      <c r="D3" s="6" t="s">
        <v>15</v>
      </c>
      <c r="E3" s="7" t="s">
        <v>16</v>
      </c>
      <c r="F3" s="5" t="s">
        <v>17</v>
      </c>
      <c r="G3" s="4" t="s">
        <v>18</v>
      </c>
      <c r="H3" s="5"/>
      <c r="I3" s="5"/>
      <c r="J3" s="5"/>
      <c r="K3" s="5"/>
      <c r="L3" s="5"/>
    </row>
    <row r="4" customFormat="false" ht="15" hidden="false" customHeight="false" outlineLevel="0" collapsed="false">
      <c r="A4" s="4" t="n">
        <v>2</v>
      </c>
      <c r="B4" s="5" t="s">
        <v>13</v>
      </c>
      <c r="C4" s="5" t="s">
        <v>19</v>
      </c>
      <c r="D4" s="6" t="s">
        <v>20</v>
      </c>
      <c r="E4" s="7" t="s">
        <v>21</v>
      </c>
      <c r="F4" s="5" t="s">
        <v>17</v>
      </c>
      <c r="G4" s="4" t="s">
        <v>18</v>
      </c>
      <c r="H4" s="5"/>
      <c r="I4" s="5"/>
      <c r="J4" s="5"/>
      <c r="K4" s="5"/>
      <c r="L4" s="5"/>
    </row>
    <row r="5" customFormat="false" ht="15" hidden="false" customHeight="false" outlineLevel="0" collapsed="false">
      <c r="A5" s="4" t="n">
        <v>3</v>
      </c>
      <c r="B5" s="5" t="s">
        <v>13</v>
      </c>
      <c r="C5" s="5" t="s">
        <v>22</v>
      </c>
      <c r="D5" s="6" t="s">
        <v>23</v>
      </c>
      <c r="E5" s="7" t="s">
        <v>24</v>
      </c>
      <c r="F5" s="5" t="s">
        <v>17</v>
      </c>
      <c r="G5" s="4" t="s">
        <v>18</v>
      </c>
      <c r="H5" s="5"/>
      <c r="I5" s="5"/>
      <c r="J5" s="5"/>
      <c r="K5" s="5"/>
      <c r="L5" s="5"/>
    </row>
    <row r="6" customFormat="false" ht="15" hidden="false" customHeight="false" outlineLevel="0" collapsed="false">
      <c r="A6" s="4" t="n">
        <v>4</v>
      </c>
      <c r="B6" s="5" t="s">
        <v>13</v>
      </c>
      <c r="C6" s="5" t="s">
        <v>25</v>
      </c>
      <c r="D6" s="6" t="s">
        <v>26</v>
      </c>
      <c r="E6" s="7" t="s">
        <v>27</v>
      </c>
      <c r="F6" s="5" t="s">
        <v>17</v>
      </c>
      <c r="G6" s="4" t="s">
        <v>18</v>
      </c>
      <c r="H6" s="5"/>
      <c r="I6" s="5"/>
      <c r="J6" s="5"/>
      <c r="K6" s="5"/>
      <c r="L6" s="5"/>
    </row>
    <row r="7" customFormat="false" ht="15" hidden="false" customHeight="false" outlineLevel="0" collapsed="false">
      <c r="A7" s="4" t="n">
        <v>5</v>
      </c>
      <c r="B7" s="5" t="s">
        <v>13</v>
      </c>
      <c r="C7" s="5" t="s">
        <v>28</v>
      </c>
      <c r="D7" s="6" t="s">
        <v>29</v>
      </c>
      <c r="E7" s="7" t="s">
        <v>30</v>
      </c>
      <c r="F7" s="5" t="s">
        <v>17</v>
      </c>
      <c r="G7" s="4" t="s">
        <v>18</v>
      </c>
      <c r="H7" s="5"/>
      <c r="I7" s="5"/>
      <c r="J7" s="5"/>
      <c r="K7" s="5"/>
      <c r="L7" s="5"/>
    </row>
    <row r="8" customFormat="false" ht="15" hidden="false" customHeight="false" outlineLevel="0" collapsed="false">
      <c r="A8" s="4" t="n">
        <v>6</v>
      </c>
      <c r="B8" s="5" t="s">
        <v>13</v>
      </c>
      <c r="C8" s="5" t="s">
        <v>31</v>
      </c>
      <c r="D8" s="6" t="s">
        <v>32</v>
      </c>
      <c r="E8" s="7" t="s">
        <v>33</v>
      </c>
      <c r="F8" s="5" t="s">
        <v>17</v>
      </c>
      <c r="G8" s="4" t="s">
        <v>34</v>
      </c>
      <c r="H8" s="5"/>
      <c r="I8" s="5"/>
      <c r="J8" s="5"/>
      <c r="K8" s="5"/>
      <c r="L8" s="5"/>
    </row>
    <row r="9" customFormat="false" ht="15" hidden="false" customHeight="false" outlineLevel="0" collapsed="false">
      <c r="A9" s="2"/>
      <c r="B9" s="3" t="s">
        <v>35</v>
      </c>
      <c r="C9" s="3"/>
      <c r="D9" s="3"/>
      <c r="E9" s="3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4" t="n">
        <v>7</v>
      </c>
      <c r="B10" s="5" t="s">
        <v>36</v>
      </c>
      <c r="C10" s="5" t="s">
        <v>37</v>
      </c>
      <c r="D10" s="6" t="s">
        <v>38</v>
      </c>
      <c r="E10" s="7" t="s">
        <v>39</v>
      </c>
      <c r="F10" s="5" t="s">
        <v>17</v>
      </c>
      <c r="G10" s="4" t="s">
        <v>34</v>
      </c>
      <c r="H10" s="5"/>
      <c r="I10" s="5"/>
      <c r="J10" s="5"/>
      <c r="K10" s="5"/>
      <c r="L10" s="5"/>
    </row>
    <row r="11" customFormat="false" ht="15" hidden="false" customHeight="false" outlineLevel="0" collapsed="false">
      <c r="A11" s="4" t="n">
        <v>8</v>
      </c>
      <c r="B11" s="5" t="s">
        <v>36</v>
      </c>
      <c r="C11" s="5" t="s">
        <v>40</v>
      </c>
      <c r="D11" s="6" t="s">
        <v>41</v>
      </c>
      <c r="E11" s="7" t="s">
        <v>42</v>
      </c>
      <c r="F11" s="5" t="s">
        <v>17</v>
      </c>
      <c r="G11" s="4" t="s">
        <v>34</v>
      </c>
      <c r="H11" s="5"/>
      <c r="I11" s="5"/>
      <c r="J11" s="5"/>
      <c r="K11" s="5"/>
      <c r="L11" s="5"/>
    </row>
    <row r="12" customFormat="false" ht="15" hidden="false" customHeight="false" outlineLevel="0" collapsed="false">
      <c r="A12" s="4" t="n">
        <v>9</v>
      </c>
      <c r="B12" s="5" t="s">
        <v>36</v>
      </c>
      <c r="C12" s="5" t="s">
        <v>43</v>
      </c>
      <c r="D12" s="6" t="s">
        <v>44</v>
      </c>
      <c r="E12" s="7" t="s">
        <v>45</v>
      </c>
      <c r="F12" s="5" t="s">
        <v>17</v>
      </c>
      <c r="G12" s="4" t="s">
        <v>34</v>
      </c>
      <c r="H12" s="5"/>
      <c r="I12" s="5"/>
      <c r="J12" s="5"/>
      <c r="K12" s="5"/>
      <c r="L12" s="5"/>
    </row>
    <row r="13" customFormat="false" ht="15" hidden="false" customHeight="false" outlineLevel="0" collapsed="false">
      <c r="A13" s="4" t="n">
        <v>10</v>
      </c>
      <c r="B13" s="5" t="s">
        <v>36</v>
      </c>
      <c r="C13" s="5" t="s">
        <v>46</v>
      </c>
      <c r="D13" s="6" t="s">
        <v>47</v>
      </c>
      <c r="E13" s="7" t="s">
        <v>48</v>
      </c>
      <c r="F13" s="5" t="s">
        <v>17</v>
      </c>
      <c r="G13" s="4" t="s">
        <v>34</v>
      </c>
      <c r="H13" s="5"/>
      <c r="I13" s="5"/>
      <c r="J13" s="5"/>
      <c r="K13" s="5"/>
      <c r="L13" s="5"/>
    </row>
    <row r="14" customFormat="false" ht="15" hidden="false" customHeight="false" outlineLevel="0" collapsed="false">
      <c r="A14" s="4" t="n">
        <v>11</v>
      </c>
      <c r="B14" s="5" t="s">
        <v>36</v>
      </c>
      <c r="C14" s="5" t="s">
        <v>49</v>
      </c>
      <c r="D14" s="6" t="s">
        <v>50</v>
      </c>
      <c r="E14" s="7" t="s">
        <v>51</v>
      </c>
      <c r="F14" s="5" t="s">
        <v>17</v>
      </c>
      <c r="G14" s="4" t="s">
        <v>52</v>
      </c>
      <c r="H14" s="5"/>
      <c r="I14" s="5"/>
      <c r="J14" s="5"/>
      <c r="K14" s="5"/>
      <c r="L14" s="5"/>
    </row>
    <row r="15" customFormat="false" ht="15" hidden="false" customHeight="false" outlineLevel="0" collapsed="false">
      <c r="A15" s="4" t="n">
        <v>12</v>
      </c>
      <c r="B15" s="5" t="s">
        <v>36</v>
      </c>
      <c r="C15" s="5" t="s">
        <v>53</v>
      </c>
      <c r="D15" s="6" t="s">
        <v>54</v>
      </c>
      <c r="E15" s="7" t="s">
        <v>55</v>
      </c>
      <c r="F15" s="5" t="s">
        <v>17</v>
      </c>
      <c r="G15" s="4" t="s">
        <v>52</v>
      </c>
      <c r="H15" s="5"/>
      <c r="I15" s="5"/>
      <c r="J15" s="5"/>
      <c r="K15" s="5"/>
      <c r="L15" s="5"/>
    </row>
    <row r="16" customFormat="false" ht="15" hidden="false" customHeight="false" outlineLevel="0" collapsed="false">
      <c r="A16" s="4" t="n">
        <v>13</v>
      </c>
      <c r="B16" s="5" t="s">
        <v>36</v>
      </c>
      <c r="C16" s="5" t="s">
        <v>56</v>
      </c>
      <c r="D16" s="6" t="s">
        <v>57</v>
      </c>
      <c r="E16" s="7" t="s">
        <v>58</v>
      </c>
      <c r="F16" s="5" t="s">
        <v>17</v>
      </c>
      <c r="G16" s="4" t="s">
        <v>52</v>
      </c>
      <c r="H16" s="5"/>
      <c r="I16" s="5"/>
      <c r="J16" s="5"/>
      <c r="K16" s="5"/>
      <c r="L16" s="5"/>
    </row>
    <row r="17" customFormat="false" ht="15" hidden="false" customHeight="false" outlineLevel="0" collapsed="false">
      <c r="A17" s="2"/>
      <c r="B17" s="3" t="s">
        <v>59</v>
      </c>
      <c r="C17" s="3"/>
      <c r="D17" s="3"/>
      <c r="E17" s="3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4" t="n">
        <v>14</v>
      </c>
      <c r="B18" s="5" t="s">
        <v>60</v>
      </c>
      <c r="C18" s="5" t="s">
        <v>61</v>
      </c>
      <c r="D18" s="6" t="s">
        <v>62</v>
      </c>
      <c r="E18" s="7" t="s">
        <v>63</v>
      </c>
      <c r="F18" s="5" t="s">
        <v>17</v>
      </c>
      <c r="G18" s="4" t="s">
        <v>52</v>
      </c>
      <c r="H18" s="5"/>
      <c r="I18" s="5"/>
      <c r="J18" s="5"/>
      <c r="K18" s="5"/>
      <c r="L18" s="5"/>
    </row>
    <row r="19" customFormat="false" ht="15" hidden="false" customHeight="false" outlineLevel="0" collapsed="false">
      <c r="A19" s="4" t="n">
        <v>15</v>
      </c>
      <c r="B19" s="5" t="s">
        <v>60</v>
      </c>
      <c r="C19" s="5" t="s">
        <v>64</v>
      </c>
      <c r="D19" s="6" t="s">
        <v>65</v>
      </c>
      <c r="E19" s="7" t="s">
        <v>66</v>
      </c>
      <c r="F19" s="5" t="s">
        <v>17</v>
      </c>
      <c r="G19" s="4" t="s">
        <v>52</v>
      </c>
      <c r="H19" s="5"/>
      <c r="I19" s="5"/>
      <c r="J19" s="5"/>
      <c r="K19" s="5"/>
      <c r="L19" s="5"/>
    </row>
    <row r="20" customFormat="false" ht="15" hidden="false" customHeight="false" outlineLevel="0" collapsed="false">
      <c r="A20" s="4" t="n">
        <v>16</v>
      </c>
      <c r="B20" s="5" t="s">
        <v>60</v>
      </c>
      <c r="C20" s="5" t="s">
        <v>67</v>
      </c>
      <c r="D20" s="6" t="s">
        <v>68</v>
      </c>
      <c r="E20" s="7" t="s">
        <v>69</v>
      </c>
      <c r="F20" s="5" t="s">
        <v>17</v>
      </c>
      <c r="G20" s="4" t="s">
        <v>70</v>
      </c>
      <c r="H20" s="5"/>
      <c r="I20" s="5"/>
      <c r="J20" s="5"/>
      <c r="K20" s="5"/>
      <c r="L20" s="5"/>
    </row>
    <row r="21" customFormat="false" ht="15" hidden="false" customHeight="false" outlineLevel="0" collapsed="false">
      <c r="A21" s="2"/>
      <c r="B21" s="3" t="s">
        <v>71</v>
      </c>
      <c r="C21" s="3"/>
      <c r="D21" s="3"/>
      <c r="E21" s="3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4" t="n">
        <v>17</v>
      </c>
      <c r="B22" s="5" t="s">
        <v>72</v>
      </c>
      <c r="C22" s="5" t="s">
        <v>73</v>
      </c>
      <c r="D22" s="6" t="s">
        <v>74</v>
      </c>
      <c r="E22" s="7" t="s">
        <v>75</v>
      </c>
      <c r="F22" s="5" t="s">
        <v>17</v>
      </c>
      <c r="G22" s="4" t="s">
        <v>70</v>
      </c>
      <c r="H22" s="5"/>
      <c r="I22" s="5"/>
      <c r="J22" s="5"/>
      <c r="K22" s="5"/>
      <c r="L22" s="5"/>
    </row>
    <row r="23" customFormat="false" ht="15" hidden="false" customHeight="false" outlineLevel="0" collapsed="false">
      <c r="A23" s="4" t="n">
        <v>18</v>
      </c>
      <c r="B23" s="5" t="s">
        <v>72</v>
      </c>
      <c r="C23" s="5" t="s">
        <v>76</v>
      </c>
      <c r="D23" s="6" t="s">
        <v>77</v>
      </c>
      <c r="E23" s="7" t="s">
        <v>78</v>
      </c>
      <c r="F23" s="5" t="s">
        <v>17</v>
      </c>
      <c r="G23" s="4" t="s">
        <v>70</v>
      </c>
      <c r="H23" s="5"/>
      <c r="I23" s="5"/>
      <c r="J23" s="5"/>
      <c r="K23" s="5"/>
      <c r="L23" s="5"/>
    </row>
    <row r="24" customFormat="false" ht="15" hidden="false" customHeight="false" outlineLevel="0" collapsed="false">
      <c r="A24" s="4" t="n">
        <v>19</v>
      </c>
      <c r="B24" s="5" t="s">
        <v>72</v>
      </c>
      <c r="C24" s="5" t="s">
        <v>79</v>
      </c>
      <c r="D24" s="6" t="s">
        <v>80</v>
      </c>
      <c r="E24" s="7" t="s">
        <v>81</v>
      </c>
      <c r="F24" s="5" t="s">
        <v>17</v>
      </c>
      <c r="G24" s="4" t="s">
        <v>70</v>
      </c>
      <c r="H24" s="5"/>
      <c r="I24" s="5"/>
      <c r="J24" s="5"/>
      <c r="K24" s="5"/>
      <c r="L24" s="5"/>
    </row>
    <row r="25" customFormat="false" ht="15" hidden="false" customHeight="false" outlineLevel="0" collapsed="false">
      <c r="A25" s="4" t="n">
        <v>20</v>
      </c>
      <c r="B25" s="5" t="s">
        <v>72</v>
      </c>
      <c r="C25" s="5" t="s">
        <v>82</v>
      </c>
      <c r="D25" s="6" t="s">
        <v>83</v>
      </c>
      <c r="E25" s="7" t="s">
        <v>84</v>
      </c>
      <c r="F25" s="5" t="s">
        <v>17</v>
      </c>
      <c r="G25" s="4" t="s">
        <v>70</v>
      </c>
      <c r="H25" s="5"/>
      <c r="I25" s="5"/>
      <c r="J25" s="5"/>
      <c r="K25" s="5"/>
      <c r="L25" s="5"/>
    </row>
    <row r="26" customFormat="false" ht="15" hidden="false" customHeight="false" outlineLevel="0" collapsed="false">
      <c r="A26" s="2"/>
      <c r="B26" s="3" t="s">
        <v>85</v>
      </c>
      <c r="C26" s="3"/>
      <c r="D26" s="3"/>
      <c r="E26" s="3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4" t="n">
        <v>21</v>
      </c>
      <c r="B27" s="5" t="s">
        <v>86</v>
      </c>
      <c r="C27" s="5" t="s">
        <v>87</v>
      </c>
      <c r="D27" s="6" t="s">
        <v>88</v>
      </c>
      <c r="E27" s="7" t="s">
        <v>89</v>
      </c>
      <c r="F27" s="5" t="s">
        <v>17</v>
      </c>
      <c r="G27" s="4" t="s">
        <v>90</v>
      </c>
      <c r="H27" s="5"/>
      <c r="I27" s="5"/>
      <c r="J27" s="5"/>
      <c r="K27" s="5"/>
      <c r="L27" s="5"/>
    </row>
    <row r="28" customFormat="false" ht="15" hidden="false" customHeight="false" outlineLevel="0" collapsed="false">
      <c r="A28" s="4" t="n">
        <v>22</v>
      </c>
      <c r="B28" s="5" t="s">
        <v>86</v>
      </c>
      <c r="C28" s="5" t="s">
        <v>91</v>
      </c>
      <c r="D28" s="6" t="s">
        <v>92</v>
      </c>
      <c r="E28" s="7" t="s">
        <v>93</v>
      </c>
      <c r="F28" s="5" t="s">
        <v>17</v>
      </c>
      <c r="G28" s="4" t="s">
        <v>90</v>
      </c>
      <c r="H28" s="5"/>
      <c r="I28" s="5"/>
      <c r="J28" s="5"/>
      <c r="K28" s="5"/>
      <c r="L28" s="5"/>
    </row>
    <row r="29" customFormat="false" ht="15" hidden="false" customHeight="false" outlineLevel="0" collapsed="false">
      <c r="A29" s="4" t="n">
        <v>23</v>
      </c>
      <c r="B29" s="5" t="s">
        <v>86</v>
      </c>
      <c r="C29" s="5" t="s">
        <v>94</v>
      </c>
      <c r="D29" s="6" t="s">
        <v>95</v>
      </c>
      <c r="E29" s="7" t="s">
        <v>96</v>
      </c>
      <c r="F29" s="5" t="s">
        <v>17</v>
      </c>
      <c r="G29" s="4" t="s">
        <v>90</v>
      </c>
      <c r="H29" s="5"/>
      <c r="I29" s="5"/>
      <c r="J29" s="5"/>
      <c r="K29" s="5"/>
      <c r="L29" s="5"/>
    </row>
    <row r="30" customFormat="false" ht="15" hidden="false" customHeight="false" outlineLevel="0" collapsed="false">
      <c r="A30" s="4" t="n">
        <v>24</v>
      </c>
      <c r="B30" s="5" t="s">
        <v>86</v>
      </c>
      <c r="C30" s="5" t="s">
        <v>97</v>
      </c>
      <c r="D30" s="6" t="s">
        <v>98</v>
      </c>
      <c r="E30" s="7" t="s">
        <v>99</v>
      </c>
      <c r="F30" s="5" t="s">
        <v>17</v>
      </c>
      <c r="G30" s="4" t="s">
        <v>90</v>
      </c>
      <c r="H30" s="5"/>
      <c r="I30" s="5"/>
      <c r="J30" s="5"/>
      <c r="K30" s="5"/>
      <c r="L30" s="5"/>
    </row>
    <row r="31" customFormat="false" ht="15" hidden="false" customHeight="false" outlineLevel="0" collapsed="false">
      <c r="A31" s="4" t="n">
        <v>25</v>
      </c>
      <c r="B31" s="5" t="s">
        <v>86</v>
      </c>
      <c r="C31" s="5" t="s">
        <v>100</v>
      </c>
      <c r="D31" s="6" t="s">
        <v>101</v>
      </c>
      <c r="E31" s="7" t="s">
        <v>102</v>
      </c>
      <c r="F31" s="5" t="s">
        <v>17</v>
      </c>
      <c r="G31" s="4" t="s">
        <v>90</v>
      </c>
      <c r="H31" s="5"/>
      <c r="I31" s="5"/>
      <c r="J31" s="5"/>
      <c r="K31" s="5"/>
      <c r="L31" s="5"/>
    </row>
    <row r="32" customFormat="false" ht="15" hidden="false" customHeight="false" outlineLevel="0" collapsed="false">
      <c r="A32" s="4" t="n">
        <v>26</v>
      </c>
      <c r="B32" s="5" t="s">
        <v>86</v>
      </c>
      <c r="C32" s="5" t="s">
        <v>103</v>
      </c>
      <c r="D32" s="6" t="s">
        <v>104</v>
      </c>
      <c r="E32" s="7" t="s">
        <v>105</v>
      </c>
      <c r="F32" s="5" t="s">
        <v>17</v>
      </c>
      <c r="G32" s="4" t="s">
        <v>106</v>
      </c>
      <c r="H32" s="5"/>
      <c r="I32" s="5"/>
      <c r="J32" s="5"/>
      <c r="K32" s="5"/>
      <c r="L32" s="5"/>
    </row>
    <row r="33" customFormat="false" ht="15" hidden="false" customHeight="false" outlineLevel="0" collapsed="false">
      <c r="A33" s="4" t="n">
        <v>27</v>
      </c>
      <c r="B33" s="5" t="s">
        <v>86</v>
      </c>
      <c r="C33" s="5" t="s">
        <v>107</v>
      </c>
      <c r="D33" s="6" t="s">
        <v>108</v>
      </c>
      <c r="E33" s="7" t="s">
        <v>109</v>
      </c>
      <c r="F33" s="5" t="s">
        <v>17</v>
      </c>
      <c r="G33" s="4" t="s">
        <v>106</v>
      </c>
      <c r="H33" s="5"/>
      <c r="I33" s="5"/>
      <c r="J33" s="5"/>
      <c r="K33" s="5"/>
      <c r="L33" s="5"/>
    </row>
    <row r="34" customFormat="false" ht="15" hidden="false" customHeight="false" outlineLevel="0" collapsed="false">
      <c r="A34" s="2"/>
      <c r="B34" s="3" t="s">
        <v>110</v>
      </c>
      <c r="C34" s="3"/>
      <c r="D34" s="3"/>
      <c r="E34" s="3"/>
      <c r="F34" s="2"/>
      <c r="G34" s="2"/>
      <c r="H34" s="2"/>
      <c r="I34" s="2"/>
      <c r="J34" s="2"/>
      <c r="K34" s="2"/>
      <c r="L34" s="2"/>
    </row>
    <row r="35" customFormat="false" ht="23.85" hidden="false" customHeight="false" outlineLevel="0" collapsed="false">
      <c r="A35" s="4" t="n">
        <v>28</v>
      </c>
      <c r="B35" s="5" t="s">
        <v>111</v>
      </c>
      <c r="C35" s="5" t="s">
        <v>112</v>
      </c>
      <c r="D35" s="6" t="s">
        <v>113</v>
      </c>
      <c r="E35" s="7" t="s">
        <v>114</v>
      </c>
      <c r="F35" s="5" t="s">
        <v>17</v>
      </c>
      <c r="G35" s="4" t="s">
        <v>106</v>
      </c>
      <c r="H35" s="5"/>
      <c r="I35" s="5"/>
      <c r="J35" s="5"/>
      <c r="K35" s="5"/>
      <c r="L35" s="5"/>
    </row>
    <row r="36" customFormat="false" ht="23.85" hidden="false" customHeight="false" outlineLevel="0" collapsed="false">
      <c r="A36" s="4" t="n">
        <v>29</v>
      </c>
      <c r="B36" s="5" t="s">
        <v>111</v>
      </c>
      <c r="C36" s="5" t="s">
        <v>115</v>
      </c>
      <c r="D36" s="6" t="s">
        <v>116</v>
      </c>
      <c r="E36" s="7" t="s">
        <v>117</v>
      </c>
      <c r="F36" s="5" t="s">
        <v>17</v>
      </c>
      <c r="G36" s="4" t="s">
        <v>106</v>
      </c>
      <c r="H36" s="5"/>
      <c r="I36" s="5"/>
      <c r="J36" s="5"/>
      <c r="K36" s="5"/>
      <c r="L36" s="5"/>
    </row>
    <row r="37" customFormat="false" ht="23.85" hidden="false" customHeight="false" outlineLevel="0" collapsed="false">
      <c r="A37" s="4" t="n">
        <v>30</v>
      </c>
      <c r="B37" s="5" t="s">
        <v>111</v>
      </c>
      <c r="C37" s="5" t="s">
        <v>118</v>
      </c>
      <c r="D37" s="6" t="s">
        <v>119</v>
      </c>
      <c r="E37" s="7" t="s">
        <v>120</v>
      </c>
      <c r="F37" s="5" t="s">
        <v>17</v>
      </c>
      <c r="G37" s="4" t="s">
        <v>106</v>
      </c>
      <c r="H37" s="5"/>
      <c r="I37" s="5"/>
      <c r="J37" s="5"/>
      <c r="K37" s="5"/>
      <c r="L37" s="5"/>
    </row>
    <row r="38" customFormat="false" ht="23.85" hidden="false" customHeight="false" outlineLevel="0" collapsed="false">
      <c r="A38" s="4" t="n">
        <v>31</v>
      </c>
      <c r="B38" s="5" t="s">
        <v>111</v>
      </c>
      <c r="C38" s="5" t="s">
        <v>121</v>
      </c>
      <c r="D38" s="6" t="s">
        <v>122</v>
      </c>
      <c r="E38" s="7" t="s">
        <v>123</v>
      </c>
      <c r="F38" s="5" t="s">
        <v>17</v>
      </c>
      <c r="G38" s="4" t="s">
        <v>124</v>
      </c>
      <c r="H38" s="5"/>
      <c r="I38" s="5"/>
      <c r="J38" s="5"/>
      <c r="K38" s="5"/>
      <c r="L38" s="5"/>
    </row>
    <row r="39" customFormat="false" ht="23.85" hidden="false" customHeight="false" outlineLevel="0" collapsed="false">
      <c r="A39" s="4" t="n">
        <v>32</v>
      </c>
      <c r="B39" s="5" t="s">
        <v>111</v>
      </c>
      <c r="C39" s="5" t="s">
        <v>125</v>
      </c>
      <c r="D39" s="6" t="s">
        <v>126</v>
      </c>
      <c r="E39" s="7" t="s">
        <v>127</v>
      </c>
      <c r="F39" s="5" t="s">
        <v>17</v>
      </c>
      <c r="G39" s="4" t="s">
        <v>124</v>
      </c>
      <c r="H39" s="5"/>
      <c r="I39" s="5"/>
      <c r="J39" s="5"/>
      <c r="K39" s="5"/>
      <c r="L39" s="5"/>
    </row>
    <row r="40" customFormat="false" ht="15" hidden="false" customHeight="false" outlineLevel="0" collapsed="false">
      <c r="A40" s="2"/>
      <c r="B40" s="3" t="s">
        <v>128</v>
      </c>
      <c r="C40" s="3"/>
      <c r="D40" s="3"/>
      <c r="E40" s="3"/>
      <c r="F40" s="2"/>
      <c r="G40" s="2"/>
      <c r="H40" s="2"/>
      <c r="I40" s="2"/>
      <c r="J40" s="2"/>
      <c r="K40" s="2"/>
      <c r="L40" s="2"/>
    </row>
    <row r="41" customFormat="false" ht="23.85" hidden="false" customHeight="false" outlineLevel="0" collapsed="false">
      <c r="A41" s="4" t="n">
        <v>33</v>
      </c>
      <c r="B41" s="5" t="s">
        <v>129</v>
      </c>
      <c r="C41" s="5" t="s">
        <v>130</v>
      </c>
      <c r="D41" s="6" t="s">
        <v>131</v>
      </c>
      <c r="E41" s="7" t="s">
        <v>132</v>
      </c>
      <c r="F41" s="5" t="s">
        <v>17</v>
      </c>
      <c r="G41" s="4" t="s">
        <v>124</v>
      </c>
      <c r="H41" s="5"/>
      <c r="I41" s="5"/>
      <c r="J41" s="5"/>
      <c r="K41" s="5"/>
      <c r="L41" s="5"/>
    </row>
    <row r="42" customFormat="false" ht="23.85" hidden="false" customHeight="false" outlineLevel="0" collapsed="false">
      <c r="A42" s="4" t="n">
        <v>34</v>
      </c>
      <c r="B42" s="5" t="s">
        <v>129</v>
      </c>
      <c r="C42" s="5" t="s">
        <v>133</v>
      </c>
      <c r="D42" s="6" t="s">
        <v>134</v>
      </c>
      <c r="E42" s="7" t="s">
        <v>135</v>
      </c>
      <c r="F42" s="5" t="s">
        <v>17</v>
      </c>
      <c r="G42" s="4" t="s">
        <v>124</v>
      </c>
      <c r="H42" s="5"/>
      <c r="I42" s="5"/>
      <c r="J42" s="5"/>
      <c r="K42" s="5"/>
      <c r="L42" s="5"/>
    </row>
    <row r="43" customFormat="false" ht="23.85" hidden="false" customHeight="false" outlineLevel="0" collapsed="false">
      <c r="A43" s="4" t="n">
        <v>35</v>
      </c>
      <c r="B43" s="5" t="s">
        <v>129</v>
      </c>
      <c r="C43" s="5" t="s">
        <v>136</v>
      </c>
      <c r="D43" s="6" t="s">
        <v>137</v>
      </c>
      <c r="E43" s="7" t="s">
        <v>138</v>
      </c>
      <c r="F43" s="5" t="s">
        <v>17</v>
      </c>
      <c r="G43" s="4" t="s">
        <v>124</v>
      </c>
      <c r="H43" s="5"/>
      <c r="I43" s="5"/>
      <c r="J43" s="5"/>
      <c r="K43" s="5"/>
      <c r="L43" s="5"/>
    </row>
    <row r="44" customFormat="false" ht="23.85" hidden="false" customHeight="false" outlineLevel="0" collapsed="false">
      <c r="A44" s="4" t="n">
        <v>36</v>
      </c>
      <c r="B44" s="5" t="s">
        <v>129</v>
      </c>
      <c r="C44" s="5" t="s">
        <v>139</v>
      </c>
      <c r="D44" s="6" t="s">
        <v>140</v>
      </c>
      <c r="E44" s="7" t="s">
        <v>141</v>
      </c>
      <c r="F44" s="5" t="s">
        <v>17</v>
      </c>
      <c r="G44" s="4" t="s">
        <v>142</v>
      </c>
      <c r="H44" s="5"/>
      <c r="I44" s="5"/>
      <c r="J44" s="5"/>
      <c r="K44" s="5"/>
      <c r="L44" s="5"/>
    </row>
    <row r="45" customFormat="false" ht="15" hidden="false" customHeight="false" outlineLevel="0" collapsed="false">
      <c r="A45" s="2"/>
      <c r="B45" s="3" t="s">
        <v>143</v>
      </c>
      <c r="C45" s="3"/>
      <c r="D45" s="3"/>
      <c r="E45" s="3"/>
      <c r="F45" s="2"/>
      <c r="G45" s="2"/>
      <c r="H45" s="2"/>
      <c r="I45" s="2"/>
      <c r="J45" s="2"/>
      <c r="K45" s="2"/>
      <c r="L45" s="2"/>
    </row>
    <row r="46" customFormat="false" ht="23.85" hidden="false" customHeight="false" outlineLevel="0" collapsed="false">
      <c r="A46" s="4" t="n">
        <v>37</v>
      </c>
      <c r="B46" s="5" t="s">
        <v>144</v>
      </c>
      <c r="C46" s="5" t="s">
        <v>145</v>
      </c>
      <c r="D46" s="6" t="s">
        <v>146</v>
      </c>
      <c r="E46" s="7" t="s">
        <v>147</v>
      </c>
      <c r="F46" s="5" t="s">
        <v>17</v>
      </c>
      <c r="G46" s="4" t="s">
        <v>142</v>
      </c>
      <c r="H46" s="5"/>
      <c r="I46" s="5"/>
      <c r="J46" s="5"/>
      <c r="K46" s="5"/>
      <c r="L46" s="5"/>
    </row>
    <row r="47" customFormat="false" ht="23.85" hidden="false" customHeight="false" outlineLevel="0" collapsed="false">
      <c r="A47" s="4" t="n">
        <v>38</v>
      </c>
      <c r="B47" s="5" t="s">
        <v>144</v>
      </c>
      <c r="C47" s="5" t="s">
        <v>148</v>
      </c>
      <c r="D47" s="6" t="s">
        <v>149</v>
      </c>
      <c r="E47" s="7" t="s">
        <v>150</v>
      </c>
      <c r="F47" s="5" t="s">
        <v>17</v>
      </c>
      <c r="G47" s="4" t="s">
        <v>142</v>
      </c>
      <c r="H47" s="5"/>
      <c r="I47" s="5"/>
      <c r="J47" s="5"/>
      <c r="K47" s="5"/>
      <c r="L47" s="5"/>
    </row>
    <row r="48" customFormat="false" ht="23.85" hidden="false" customHeight="false" outlineLevel="0" collapsed="false">
      <c r="A48" s="4" t="n">
        <v>39</v>
      </c>
      <c r="B48" s="5" t="s">
        <v>144</v>
      </c>
      <c r="C48" s="5" t="s">
        <v>151</v>
      </c>
      <c r="D48" s="6" t="s">
        <v>152</v>
      </c>
      <c r="E48" s="7" t="s">
        <v>153</v>
      </c>
      <c r="F48" s="5" t="s">
        <v>17</v>
      </c>
      <c r="G48" s="4" t="s">
        <v>142</v>
      </c>
      <c r="H48" s="5"/>
      <c r="I48" s="5"/>
      <c r="J48" s="5"/>
      <c r="K48" s="5"/>
      <c r="L48" s="5"/>
    </row>
    <row r="49" customFormat="false" ht="23.85" hidden="false" customHeight="false" outlineLevel="0" collapsed="false">
      <c r="A49" s="4" t="n">
        <v>40</v>
      </c>
      <c r="B49" s="5" t="s">
        <v>144</v>
      </c>
      <c r="C49" s="5" t="s">
        <v>154</v>
      </c>
      <c r="D49" s="6" t="s">
        <v>155</v>
      </c>
      <c r="E49" s="7" t="s">
        <v>156</v>
      </c>
      <c r="F49" s="5" t="s">
        <v>17</v>
      </c>
      <c r="G49" s="4" t="s">
        <v>142</v>
      </c>
      <c r="H49" s="5"/>
      <c r="I49" s="5"/>
      <c r="J49" s="5"/>
      <c r="K49" s="5"/>
      <c r="L49" s="5"/>
    </row>
    <row r="50" customFormat="false" ht="15" hidden="false" customHeight="false" outlineLevel="0" collapsed="false">
      <c r="A50" s="2"/>
      <c r="B50" s="3" t="s">
        <v>157</v>
      </c>
      <c r="C50" s="3"/>
      <c r="D50" s="3"/>
      <c r="E50" s="3"/>
      <c r="F50" s="2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4" t="n">
        <v>41</v>
      </c>
      <c r="B51" s="5" t="s">
        <v>158</v>
      </c>
      <c r="C51" s="5" t="s">
        <v>159</v>
      </c>
      <c r="D51" s="6" t="s">
        <v>160</v>
      </c>
      <c r="E51" s="7" t="s">
        <v>161</v>
      </c>
      <c r="F51" s="5" t="s">
        <v>17</v>
      </c>
      <c r="G51" s="4" t="s">
        <v>162</v>
      </c>
      <c r="H51" s="5"/>
      <c r="I51" s="5"/>
      <c r="J51" s="5"/>
      <c r="K51" s="5"/>
      <c r="L51" s="5"/>
    </row>
    <row r="52" customFormat="false" ht="15" hidden="false" customHeight="false" outlineLevel="0" collapsed="false">
      <c r="A52" s="4" t="n">
        <v>42</v>
      </c>
      <c r="B52" s="5" t="s">
        <v>158</v>
      </c>
      <c r="C52" s="5" t="s">
        <v>163</v>
      </c>
      <c r="D52" s="6" t="s">
        <v>164</v>
      </c>
      <c r="E52" s="7" t="s">
        <v>165</v>
      </c>
      <c r="F52" s="5" t="s">
        <v>17</v>
      </c>
      <c r="G52" s="4" t="s">
        <v>162</v>
      </c>
      <c r="H52" s="5"/>
      <c r="I52" s="5"/>
      <c r="J52" s="5"/>
      <c r="K52" s="5"/>
      <c r="L52" s="5"/>
    </row>
    <row r="53" customFormat="false" ht="15" hidden="false" customHeight="false" outlineLevel="0" collapsed="false">
      <c r="A53" s="4" t="n">
        <v>43</v>
      </c>
      <c r="B53" s="5" t="s">
        <v>158</v>
      </c>
      <c r="C53" s="5" t="s">
        <v>166</v>
      </c>
      <c r="D53" s="6" t="s">
        <v>167</v>
      </c>
      <c r="E53" s="7" t="s">
        <v>168</v>
      </c>
      <c r="F53" s="5" t="s">
        <v>17</v>
      </c>
      <c r="G53" s="4" t="s">
        <v>162</v>
      </c>
      <c r="H53" s="5"/>
      <c r="I53" s="5"/>
      <c r="J53" s="5"/>
      <c r="K53" s="5"/>
      <c r="L53" s="5"/>
    </row>
    <row r="54" customFormat="false" ht="15" hidden="false" customHeight="false" outlineLevel="0" collapsed="false">
      <c r="A54" s="4" t="n">
        <v>44</v>
      </c>
      <c r="B54" s="5" t="s">
        <v>158</v>
      </c>
      <c r="C54" s="5" t="s">
        <v>169</v>
      </c>
      <c r="D54" s="6" t="s">
        <v>170</v>
      </c>
      <c r="E54" s="7" t="s">
        <v>171</v>
      </c>
      <c r="F54" s="5" t="s">
        <v>17</v>
      </c>
      <c r="G54" s="4" t="s">
        <v>162</v>
      </c>
      <c r="H54" s="5"/>
      <c r="I54" s="5"/>
      <c r="J54" s="5"/>
      <c r="K54" s="5"/>
      <c r="L54" s="5"/>
    </row>
    <row r="55" customFormat="false" ht="15" hidden="false" customHeight="false" outlineLevel="0" collapsed="false">
      <c r="A55" s="4" t="n">
        <v>45</v>
      </c>
      <c r="B55" s="5" t="s">
        <v>158</v>
      </c>
      <c r="C55" s="5" t="s">
        <v>172</v>
      </c>
      <c r="D55" s="6" t="s">
        <v>173</v>
      </c>
      <c r="E55" s="7" t="s">
        <v>174</v>
      </c>
      <c r="F55" s="5" t="s">
        <v>17</v>
      </c>
      <c r="G55" s="4" t="s">
        <v>162</v>
      </c>
      <c r="H55" s="5"/>
      <c r="I55" s="5"/>
      <c r="J55" s="5"/>
      <c r="K55" s="5"/>
      <c r="L55" s="5"/>
    </row>
    <row r="56" customFormat="false" ht="15" hidden="false" customHeight="false" outlineLevel="0" collapsed="false">
      <c r="A56" s="2"/>
      <c r="B56" s="3" t="s">
        <v>175</v>
      </c>
      <c r="C56" s="3"/>
      <c r="D56" s="3"/>
      <c r="E56" s="3"/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4" t="n">
        <v>46</v>
      </c>
      <c r="B57" s="5" t="s">
        <v>176</v>
      </c>
      <c r="C57" s="5" t="s">
        <v>177</v>
      </c>
      <c r="D57" s="6" t="s">
        <v>178</v>
      </c>
      <c r="E57" s="7" t="s">
        <v>179</v>
      </c>
      <c r="F57" s="5" t="s">
        <v>17</v>
      </c>
      <c r="G57" s="4" t="s">
        <v>180</v>
      </c>
      <c r="H57" s="5"/>
      <c r="I57" s="5"/>
      <c r="J57" s="5"/>
      <c r="K57" s="5"/>
      <c r="L57" s="5"/>
    </row>
    <row r="58" customFormat="false" ht="15" hidden="false" customHeight="false" outlineLevel="0" collapsed="false">
      <c r="A58" s="4" t="n">
        <v>47</v>
      </c>
      <c r="B58" s="5" t="s">
        <v>176</v>
      </c>
      <c r="C58" s="5" t="s">
        <v>181</v>
      </c>
      <c r="D58" s="6" t="s">
        <v>182</v>
      </c>
      <c r="E58" s="7" t="s">
        <v>183</v>
      </c>
      <c r="F58" s="5" t="s">
        <v>17</v>
      </c>
      <c r="G58" s="4" t="s">
        <v>180</v>
      </c>
      <c r="H58" s="5"/>
      <c r="I58" s="5"/>
      <c r="J58" s="5"/>
      <c r="K58" s="5"/>
      <c r="L58" s="5"/>
    </row>
    <row r="59" customFormat="false" ht="15" hidden="false" customHeight="false" outlineLevel="0" collapsed="false">
      <c r="A59" s="4" t="n">
        <v>48</v>
      </c>
      <c r="B59" s="5" t="s">
        <v>176</v>
      </c>
      <c r="C59" s="5" t="s">
        <v>184</v>
      </c>
      <c r="D59" s="6" t="s">
        <v>185</v>
      </c>
      <c r="E59" s="7" t="s">
        <v>186</v>
      </c>
      <c r="F59" s="5" t="s">
        <v>17</v>
      </c>
      <c r="G59" s="4" t="s">
        <v>180</v>
      </c>
      <c r="H59" s="5"/>
      <c r="I59" s="5"/>
      <c r="J59" s="5"/>
      <c r="K59" s="5"/>
      <c r="L59" s="5"/>
    </row>
    <row r="60" customFormat="false" ht="15" hidden="false" customHeight="false" outlineLevel="0" collapsed="false">
      <c r="A60" s="4" t="n">
        <v>49</v>
      </c>
      <c r="B60" s="5" t="s">
        <v>176</v>
      </c>
      <c r="C60" s="5" t="s">
        <v>187</v>
      </c>
      <c r="D60" s="6" t="s">
        <v>188</v>
      </c>
      <c r="E60" s="7" t="s">
        <v>189</v>
      </c>
      <c r="F60" s="5" t="s">
        <v>17</v>
      </c>
      <c r="G60" s="4" t="s">
        <v>180</v>
      </c>
      <c r="H60" s="5"/>
      <c r="I60" s="5"/>
      <c r="J60" s="5"/>
      <c r="K60" s="5"/>
      <c r="L60" s="5"/>
    </row>
    <row r="61" customFormat="false" ht="15" hidden="false" customHeight="false" outlineLevel="0" collapsed="false">
      <c r="A61" s="2"/>
      <c r="B61" s="3" t="s">
        <v>190</v>
      </c>
      <c r="C61" s="3"/>
      <c r="D61" s="3"/>
      <c r="E61" s="3"/>
      <c r="F61" s="2"/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4" t="n">
        <v>50</v>
      </c>
      <c r="B62" s="5" t="s">
        <v>191</v>
      </c>
      <c r="C62" s="5" t="s">
        <v>192</v>
      </c>
      <c r="D62" s="6" t="s">
        <v>193</v>
      </c>
      <c r="E62" s="7" t="s">
        <v>194</v>
      </c>
      <c r="F62" s="5" t="s">
        <v>17</v>
      </c>
      <c r="G62" s="4" t="s">
        <v>180</v>
      </c>
      <c r="H62" s="5"/>
      <c r="I62" s="5"/>
      <c r="J62" s="5"/>
      <c r="K62" s="5"/>
      <c r="L62" s="5"/>
    </row>
    <row r="63" customFormat="false" ht="15" hidden="false" customHeight="false" outlineLevel="0" collapsed="false">
      <c r="A63" s="4" t="n">
        <v>51</v>
      </c>
      <c r="B63" s="5" t="s">
        <v>191</v>
      </c>
      <c r="C63" s="5" t="s">
        <v>195</v>
      </c>
      <c r="D63" s="6" t="s">
        <v>196</v>
      </c>
      <c r="E63" s="7" t="s">
        <v>197</v>
      </c>
      <c r="F63" s="5" t="s">
        <v>17</v>
      </c>
      <c r="G63" s="4" t="s">
        <v>198</v>
      </c>
      <c r="H63" s="5"/>
      <c r="I63" s="5"/>
      <c r="J63" s="5"/>
      <c r="K63" s="5"/>
      <c r="L63" s="5"/>
    </row>
    <row r="64" customFormat="false" ht="15" hidden="false" customHeight="false" outlineLevel="0" collapsed="false">
      <c r="A64" s="4" t="n">
        <v>52</v>
      </c>
      <c r="B64" s="5" t="s">
        <v>191</v>
      </c>
      <c r="C64" s="5" t="s">
        <v>199</v>
      </c>
      <c r="D64" s="6" t="s">
        <v>200</v>
      </c>
      <c r="E64" s="7" t="s">
        <v>201</v>
      </c>
      <c r="F64" s="5" t="s">
        <v>17</v>
      </c>
      <c r="G64" s="4" t="s">
        <v>198</v>
      </c>
      <c r="H64" s="5"/>
      <c r="I64" s="5"/>
      <c r="J64" s="5"/>
      <c r="K64" s="5"/>
      <c r="L64" s="5"/>
    </row>
    <row r="65" customFormat="false" ht="15" hidden="false" customHeight="false" outlineLevel="0" collapsed="false">
      <c r="A65" s="2"/>
      <c r="B65" s="3" t="s">
        <v>202</v>
      </c>
      <c r="C65" s="3"/>
      <c r="D65" s="3"/>
      <c r="E65" s="3"/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4" t="n">
        <v>53</v>
      </c>
      <c r="B66" s="5" t="s">
        <v>203</v>
      </c>
      <c r="C66" s="5" t="s">
        <v>204</v>
      </c>
      <c r="D66" s="6" t="s">
        <v>205</v>
      </c>
      <c r="E66" s="7" t="s">
        <v>206</v>
      </c>
      <c r="F66" s="5" t="s">
        <v>17</v>
      </c>
      <c r="G66" s="4" t="s">
        <v>198</v>
      </c>
      <c r="H66" s="5"/>
      <c r="I66" s="5"/>
      <c r="J66" s="5"/>
      <c r="K66" s="5"/>
      <c r="L66" s="5"/>
    </row>
    <row r="67" customFormat="false" ht="15" hidden="false" customHeight="false" outlineLevel="0" collapsed="false">
      <c r="A67" s="4" t="n">
        <v>54</v>
      </c>
      <c r="B67" s="5" t="s">
        <v>203</v>
      </c>
      <c r="C67" s="5" t="s">
        <v>207</v>
      </c>
      <c r="D67" s="6" t="s">
        <v>208</v>
      </c>
      <c r="E67" s="7" t="s">
        <v>206</v>
      </c>
      <c r="F67" s="5" t="s">
        <v>17</v>
      </c>
      <c r="G67" s="4" t="s">
        <v>198</v>
      </c>
      <c r="H67" s="5"/>
      <c r="I67" s="5"/>
      <c r="J67" s="5"/>
      <c r="K67" s="5"/>
      <c r="L67" s="5"/>
    </row>
    <row r="68" customFormat="false" ht="15" hidden="false" customHeight="false" outlineLevel="0" collapsed="false">
      <c r="A68" s="4" t="n">
        <v>55</v>
      </c>
      <c r="B68" s="5" t="s">
        <v>203</v>
      </c>
      <c r="C68" s="5" t="s">
        <v>209</v>
      </c>
      <c r="D68" s="6" t="s">
        <v>210</v>
      </c>
      <c r="E68" s="7" t="s">
        <v>206</v>
      </c>
      <c r="F68" s="5" t="s">
        <v>17</v>
      </c>
      <c r="G68" s="4" t="s">
        <v>198</v>
      </c>
      <c r="H68" s="5"/>
      <c r="I68" s="5"/>
      <c r="J68" s="5"/>
      <c r="K68" s="5"/>
      <c r="L68" s="5"/>
    </row>
    <row r="69" customFormat="false" ht="15" hidden="false" customHeight="false" outlineLevel="0" collapsed="false">
      <c r="A69" s="4" t="n">
        <v>56</v>
      </c>
      <c r="B69" s="5" t="s">
        <v>203</v>
      </c>
      <c r="C69" s="5" t="s">
        <v>211</v>
      </c>
      <c r="D69" s="6" t="s">
        <v>212</v>
      </c>
      <c r="E69" s="7" t="s">
        <v>206</v>
      </c>
      <c r="F69" s="5" t="s">
        <v>17</v>
      </c>
      <c r="G69" s="4" t="s">
        <v>213</v>
      </c>
      <c r="H69" s="5"/>
      <c r="I69" s="5"/>
      <c r="J69" s="5"/>
      <c r="K69" s="5"/>
      <c r="L69" s="5"/>
    </row>
  </sheetData>
  <autoFilter ref="A1:L69"/>
  <mergeCells count="12">
    <mergeCell ref="B2:E2"/>
    <mergeCell ref="B9:E9"/>
    <mergeCell ref="B17:E17"/>
    <mergeCell ref="B21:E21"/>
    <mergeCell ref="B26:E26"/>
    <mergeCell ref="B34:E34"/>
    <mergeCell ref="B40:E40"/>
    <mergeCell ref="B45:E45"/>
    <mergeCell ref="B50:E50"/>
    <mergeCell ref="B56:E56"/>
    <mergeCell ref="B61:E61"/>
    <mergeCell ref="B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2"/>
  </cols>
  <sheetData>
    <row r="1" customFormat="false" ht="15" hidden="false" customHeight="false" outlineLevel="0" collapsed="false">
      <c r="A1" s="8" t="s">
        <v>6</v>
      </c>
      <c r="B1" s="8" t="s">
        <v>214</v>
      </c>
      <c r="C1" s="8" t="s">
        <v>215</v>
      </c>
      <c r="D1" s="8" t="s">
        <v>216</v>
      </c>
      <c r="E1" s="8" t="s">
        <v>217</v>
      </c>
      <c r="F1" s="8" t="s">
        <v>218</v>
      </c>
    </row>
    <row r="2" customFormat="false" ht="15" hidden="false" customHeight="false" outlineLevel="0" collapsed="false">
      <c r="A2" s="9" t="s">
        <v>18</v>
      </c>
      <c r="B2" s="9" t="s">
        <v>219</v>
      </c>
      <c r="C2" s="9" t="n">
        <f aca="false">COUNTIF('Article Tracker'!G:G,"Day 1")</f>
        <v>5</v>
      </c>
      <c r="D2" s="9" t="n">
        <f aca="false">COUNTIFS('Article Tracker'!G:G,"Day 1",'Article Tracker'!F:F,"Done")</f>
        <v>0</v>
      </c>
      <c r="E2" s="10" t="n">
        <f aca="false">IF(C2=0,0,D2/C2)</f>
        <v>0</v>
      </c>
      <c r="F2" s="11" t="s">
        <v>220</v>
      </c>
    </row>
    <row r="3" customFormat="false" ht="15" hidden="false" customHeight="false" outlineLevel="0" collapsed="false">
      <c r="A3" s="9" t="s">
        <v>34</v>
      </c>
      <c r="B3" s="9" t="s">
        <v>221</v>
      </c>
      <c r="C3" s="9" t="n">
        <f aca="false">COUNTIF('Article Tracker'!G:G,"Day 2")</f>
        <v>5</v>
      </c>
      <c r="D3" s="9" t="n">
        <f aca="false">COUNTIFS('Article Tracker'!G:G,"Day 2",'Article Tracker'!F:F,"Done")</f>
        <v>0</v>
      </c>
      <c r="E3" s="10" t="n">
        <f aca="false">IF(C3=0,0,D3/C3)</f>
        <v>0</v>
      </c>
      <c r="F3" s="11" t="s">
        <v>222</v>
      </c>
    </row>
    <row r="4" customFormat="false" ht="15" hidden="false" customHeight="false" outlineLevel="0" collapsed="false">
      <c r="A4" s="9" t="s">
        <v>52</v>
      </c>
      <c r="B4" s="9" t="s">
        <v>223</v>
      </c>
      <c r="C4" s="9" t="n">
        <f aca="false">COUNTIF('Article Tracker'!G:G,"Day 3")</f>
        <v>5</v>
      </c>
      <c r="D4" s="9" t="n">
        <f aca="false">COUNTIFS('Article Tracker'!G:G,"Day 3",'Article Tracker'!F:F,"Done")</f>
        <v>0</v>
      </c>
      <c r="E4" s="10" t="n">
        <f aca="false">IF(C4=0,0,D4/C4)</f>
        <v>0</v>
      </c>
      <c r="F4" s="11" t="s">
        <v>224</v>
      </c>
    </row>
    <row r="5" customFormat="false" ht="15" hidden="false" customHeight="false" outlineLevel="0" collapsed="false">
      <c r="A5" s="9" t="s">
        <v>70</v>
      </c>
      <c r="B5" s="9" t="s">
        <v>225</v>
      </c>
      <c r="C5" s="9" t="n">
        <f aca="false">COUNTIF('Article Tracker'!G:G,"Day 4")</f>
        <v>5</v>
      </c>
      <c r="D5" s="9" t="n">
        <f aca="false">COUNTIFS('Article Tracker'!G:G,"Day 4",'Article Tracker'!F:F,"Done")</f>
        <v>0</v>
      </c>
      <c r="E5" s="10" t="n">
        <f aca="false">IF(C5=0,0,D5/C5)</f>
        <v>0</v>
      </c>
      <c r="F5" s="11" t="s">
        <v>226</v>
      </c>
    </row>
    <row r="6" customFormat="false" ht="15" hidden="false" customHeight="false" outlineLevel="0" collapsed="false">
      <c r="A6" s="9" t="s">
        <v>90</v>
      </c>
      <c r="B6" s="9" t="s">
        <v>227</v>
      </c>
      <c r="C6" s="9" t="n">
        <f aca="false">COUNTIF('Article Tracker'!G:G,"Day 5")</f>
        <v>5</v>
      </c>
      <c r="D6" s="9" t="n">
        <f aca="false">COUNTIFS('Article Tracker'!G:G,"Day 5",'Article Tracker'!F:F,"Done")</f>
        <v>0</v>
      </c>
      <c r="E6" s="10" t="n">
        <f aca="false">IF(C6=0,0,D6/C6)</f>
        <v>0</v>
      </c>
      <c r="F6" s="11" t="s">
        <v>228</v>
      </c>
    </row>
    <row r="7" customFormat="false" ht="15" hidden="false" customHeight="false" outlineLevel="0" collapsed="false">
      <c r="A7" s="9" t="s">
        <v>106</v>
      </c>
      <c r="B7" s="9" t="s">
        <v>229</v>
      </c>
      <c r="C7" s="9" t="n">
        <f aca="false">COUNTIF('Article Tracker'!G:G,"Day 6")</f>
        <v>5</v>
      </c>
      <c r="D7" s="9" t="n">
        <f aca="false">COUNTIFS('Article Tracker'!G:G,"Day 6",'Article Tracker'!F:F,"Done")</f>
        <v>0</v>
      </c>
      <c r="E7" s="10" t="n">
        <f aca="false">IF(C7=0,0,D7/C7)</f>
        <v>0</v>
      </c>
      <c r="F7" s="11" t="s">
        <v>230</v>
      </c>
    </row>
    <row r="8" customFormat="false" ht="15" hidden="false" customHeight="false" outlineLevel="0" collapsed="false">
      <c r="A8" s="9" t="s">
        <v>124</v>
      </c>
      <c r="B8" s="9" t="s">
        <v>231</v>
      </c>
      <c r="C8" s="9" t="n">
        <f aca="false">COUNTIF('Article Tracker'!G:G,"Day 7")</f>
        <v>5</v>
      </c>
      <c r="D8" s="9" t="n">
        <f aca="false">COUNTIFS('Article Tracker'!G:G,"Day 7",'Article Tracker'!F:F,"Done")</f>
        <v>0</v>
      </c>
      <c r="E8" s="10" t="n">
        <f aca="false">IF(C8=0,0,D8/C8)</f>
        <v>0</v>
      </c>
      <c r="F8" s="11" t="s">
        <v>232</v>
      </c>
    </row>
    <row r="9" customFormat="false" ht="15" hidden="false" customHeight="false" outlineLevel="0" collapsed="false">
      <c r="A9" s="9" t="s">
        <v>142</v>
      </c>
      <c r="B9" s="9" t="s">
        <v>233</v>
      </c>
      <c r="C9" s="9" t="n">
        <f aca="false">COUNTIF('Article Tracker'!G:G,"Day 8")</f>
        <v>5</v>
      </c>
      <c r="D9" s="9" t="n">
        <f aca="false">COUNTIFS('Article Tracker'!G:G,"Day 8",'Article Tracker'!F:F,"Done")</f>
        <v>0</v>
      </c>
      <c r="E9" s="10" t="n">
        <f aca="false">IF(C9=0,0,D9/C9)</f>
        <v>0</v>
      </c>
      <c r="F9" s="11" t="s">
        <v>234</v>
      </c>
    </row>
    <row r="10" customFormat="false" ht="15" hidden="false" customHeight="false" outlineLevel="0" collapsed="false">
      <c r="A10" s="9" t="s">
        <v>162</v>
      </c>
      <c r="B10" s="9" t="s">
        <v>235</v>
      </c>
      <c r="C10" s="9" t="n">
        <f aca="false">COUNTIF('Article Tracker'!G:G,"Day 9")</f>
        <v>5</v>
      </c>
      <c r="D10" s="9" t="n">
        <f aca="false">COUNTIFS('Article Tracker'!G:G,"Day 9",'Article Tracker'!F:F,"Done")</f>
        <v>0</v>
      </c>
      <c r="E10" s="10" t="n">
        <f aca="false">IF(C10=0,0,D10/C10)</f>
        <v>0</v>
      </c>
      <c r="F10" s="11" t="s">
        <v>236</v>
      </c>
    </row>
    <row r="11" customFormat="false" ht="15" hidden="false" customHeight="false" outlineLevel="0" collapsed="false">
      <c r="A11" s="9" t="s">
        <v>180</v>
      </c>
      <c r="B11" s="9" t="s">
        <v>237</v>
      </c>
      <c r="C11" s="9" t="n">
        <f aca="false">COUNTIF('Article Tracker'!G:G,"Day 10")</f>
        <v>5</v>
      </c>
      <c r="D11" s="9" t="n">
        <f aca="false">COUNTIFS('Article Tracker'!G:G,"Day 10",'Article Tracker'!F:F,"Done")</f>
        <v>0</v>
      </c>
      <c r="E11" s="10" t="n">
        <f aca="false">IF(C11=0,0,D11/C11)</f>
        <v>0</v>
      </c>
      <c r="F11" s="11" t="s">
        <v>238</v>
      </c>
    </row>
    <row r="12" customFormat="false" ht="15" hidden="false" customHeight="false" outlineLevel="0" collapsed="false">
      <c r="A12" s="9" t="s">
        <v>198</v>
      </c>
      <c r="B12" s="9" t="s">
        <v>239</v>
      </c>
      <c r="C12" s="9" t="n">
        <f aca="false">COUNTIF('Article Tracker'!G:G,"Day 11")</f>
        <v>5</v>
      </c>
      <c r="D12" s="9" t="n">
        <f aca="false">COUNTIFS('Article Tracker'!G:G,"Day 11",'Article Tracker'!F:F,"Done")</f>
        <v>0</v>
      </c>
      <c r="E12" s="10" t="n">
        <f aca="false">IF(C12=0,0,D12/C12)</f>
        <v>0</v>
      </c>
      <c r="F12" s="11" t="s">
        <v>240</v>
      </c>
    </row>
    <row r="13" customFormat="false" ht="15" hidden="false" customHeight="false" outlineLevel="0" collapsed="false">
      <c r="A13" s="9" t="s">
        <v>213</v>
      </c>
      <c r="B13" s="9" t="s">
        <v>241</v>
      </c>
      <c r="C13" s="9" t="n">
        <f aca="false">COUNTIF('Article Tracker'!G:G,"Day 12")</f>
        <v>1</v>
      </c>
      <c r="D13" s="9" t="n">
        <f aca="false">COUNTIFS('Article Tracker'!G:G,"Day 12",'Article Tracker'!F:F,"Done")</f>
        <v>0</v>
      </c>
      <c r="E13" s="10" t="n">
        <f aca="false">IF(C13=0,0,D13/C13)</f>
        <v>0</v>
      </c>
      <c r="F13" s="11" t="s">
        <v>242</v>
      </c>
    </row>
    <row r="14" customFormat="false" ht="15" hidden="false" customHeight="false" outlineLevel="0" collapsed="false">
      <c r="A14" s="12" t="s">
        <v>243</v>
      </c>
      <c r="B14" s="12"/>
      <c r="C14" s="12" t="n">
        <f aca="false">SUM(C2:C13)</f>
        <v>56</v>
      </c>
      <c r="D14" s="12" t="n">
        <f aca="false">SUM(D2:D13)</f>
        <v>0</v>
      </c>
      <c r="E14" s="13" t="n">
        <f aca="false">IF(C14=0,0,D14/C14)</f>
        <v>0</v>
      </c>
      <c r="F1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2026-04-02T17:25:18Z</dcterms:created>
  <dc:creator>openpyxl</dc:creator>
  <dc:description/>
  <dc:language>en-US</dc:language>
  <cp:lastModifiedBy/>
  <dcterms:modified xsi:type="dcterms:W3CDTF">2026-04-02T17:25:18Z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